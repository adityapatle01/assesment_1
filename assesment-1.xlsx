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1D65C9E-83A3-4DEE-A71B-1B9B1570C7B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ales_data" sheetId="1" r:id="rId1"/>
    <sheet name="Product_master" sheetId="2" r:id="rId2"/>
    <sheet name="Monthly_targ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C5" i="3"/>
  <c r="D5" i="3"/>
  <c r="E5" i="3"/>
  <c r="I2" i="1"/>
  <c r="I5" i="1"/>
  <c r="I4" i="1"/>
  <c r="I3" i="1"/>
  <c r="I12" i="1"/>
  <c r="I7" i="1"/>
  <c r="I8" i="1"/>
  <c r="I9" i="1"/>
  <c r="I10" i="1"/>
  <c r="I11" i="1"/>
  <c r="I6" i="1"/>
  <c r="H2" i="1"/>
  <c r="H4" i="1"/>
  <c r="G4" i="1"/>
  <c r="G2" i="1"/>
  <c r="G3" i="1"/>
  <c r="G5" i="1"/>
  <c r="G6" i="1"/>
  <c r="G1" i="1"/>
  <c r="H3" i="1"/>
  <c r="H5" i="1"/>
  <c r="H6" i="1"/>
  <c r="H1" i="1"/>
</calcChain>
</file>

<file path=xl/sharedStrings.xml><?xml version="1.0" encoding="utf-8"?>
<sst xmlns="http://schemas.openxmlformats.org/spreadsheetml/2006/main" count="79" uniqueCount="50">
  <si>
    <t>Employee ID</t>
  </si>
  <si>
    <t>Employee Name</t>
  </si>
  <si>
    <t>Region</t>
  </si>
  <si>
    <t>Product ID</t>
  </si>
  <si>
    <t>Units Sold</t>
  </si>
  <si>
    <t>Sales Amount</t>
  </si>
  <si>
    <t>Total Sales Value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</si>
  <si>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</si>
  <si>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</si>
  <si>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</si>
  <si>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</si>
  <si>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</si>
  <si>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</si>
  <si>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</si>
  <si>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</si>
  <si>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</si>
  <si>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</si>
  <si>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</si>
  <si>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</si>
  <si>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</si>
  <si>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</si>
  <si>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</si>
  <si>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</si>
  <si>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</si>
  <si>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</si>
  <si>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</si>
  <si>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</si>
  <si>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</si>
  <si>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Smartphone</t>
  </si>
  <si>
    <t>E107</t>
  </si>
  <si>
    <t>Deepak Rao</t>
  </si>
  <si>
    <t>Headphones</t>
  </si>
  <si>
    <t>E108</t>
  </si>
  <si>
    <t>Kavita Das</t>
  </si>
  <si>
    <t>Laptop</t>
  </si>
  <si>
    <t>E109</t>
  </si>
  <si>
    <t>Ajay Nair</t>
  </si>
  <si>
    <t>Printer</t>
  </si>
  <si>
    <t>E110</t>
  </si>
  <si>
    <t>Neha Kulkarni</t>
  </si>
  <si>
    <t>Monitor</t>
  </si>
  <si>
    <t>Total Revenue Generated=</t>
  </si>
  <si>
    <t>Product Name</t>
  </si>
  <si>
    <t>Category</t>
  </si>
  <si>
    <t>Price per Unit</t>
  </si>
  <si>
    <t>Electronics</t>
  </si>
  <si>
    <t>Accessories</t>
  </si>
  <si>
    <t>Office Supplies</t>
  </si>
  <si>
    <t>Target Sales</t>
  </si>
  <si>
    <t>Actual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</si>
</sst>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1"/>
      <color theme="1"/>
      <name val="Google Sans Text"/>
      <family val="2"/>
      <charset val="1"/>
    </font>
    <font>
      <b/>
      <sz val="10"/>
      <color rgb="FF000000"/>
      <name val="Arial"/>
      <charset val="1"/>
    </font>
    <font>
      <b/>
      <sz val="10"/>
      <color rgb="FF00000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3" fillId="0" borderId="0" xfId="0" applyFont="1" applyAlignment="1">
      <alignment wrapText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2" fillId="0" borderId="14" xfId="0" applyFont="1" applyBorder="1" applyAlignment="1">
      <alignment readingOrder="1"/>
    </xf>
    <xf numFmtId="0" fontId="2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1" fillId="0" borderId="18" xfId="0" applyFont="1" applyBorder="1" applyAlignment="1">
      <alignment readingOrder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Border="1"/>
    <xf numFmtId="0" fontId="2" fillId="0" borderId="0" xfId="0" applyFont="1" applyBorder="1" applyAlignment="1">
      <alignment readingOrder="1"/>
    </xf>
    <xf numFmtId="0" fontId="2" fillId="0" borderId="19" xfId="0" applyFont="1" applyBorder="1" applyAlignment="1">
      <alignment readingOrder="1"/>
    </xf>
    <xf numFmtId="0" fontId="1" fillId="0" borderId="20" xfId="0" applyFont="1" applyBorder="1" applyAlignment="1">
      <alignment readingOrder="1"/>
    </xf>
  </cellXfs>
  <cellStyles count="1">
    <cellStyle name="Normal" xfId="0" builtinId="0"/>
  </cellStyles>
  <dxfs count="11"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3199F-E163-408C-81CE-4408BA55884D}" name="Table1" displayName="Table1" ref="A3:E5" totalsRowShown="0" headerRowDxfId="2" headerRowBorderDxfId="0" tableBorderDxfId="1">
  <autoFilter ref="A3:E5" xr:uid="{DDF3199F-E163-408C-81CE-4408BA55884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D44F98-C98F-44BA-B9B8-3EAFB7B5AA7A}" name="Region"/>
    <tableColumn id="2" xr3:uid="{FA5A13B4-F8E4-4E35-9370-0C5CAE19CC0E}" name="North"/>
    <tableColumn id="3" xr3:uid="{F2762F46-8BAB-423D-BD97-79B0A326E0C5}" name="South"/>
    <tableColumn id="4" xr3:uid="{6F0EB09F-10EA-45CA-AAFA-7D8313256352}" name="East"/>
    <tableColumn id="5" xr3:uid="{7884BA2B-E613-4607-9F74-AC0E6034BD8F}" name="W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H11" sqref="H11"/>
    </sheetView>
  </sheetViews>
  <sheetFormatPr defaultRowHeight="15"/>
  <cols>
    <col min="1" max="1" width="12" bestFit="1" customWidth="1"/>
    <col min="2" max="2" width="15.140625" bestFit="1" customWidth="1"/>
    <col min="3" max="3" width="7.140625" bestFit="1" customWidth="1"/>
    <col min="4" max="4" width="10.28515625" bestFit="1" customWidth="1"/>
    <col min="5" max="5" width="10" bestFit="1" customWidth="1"/>
    <col min="6" max="6" width="13.28515625" bestFit="1" customWidth="1"/>
    <col min="7" max="7" width="13.42578125" bestFit="1" customWidth="1"/>
    <col min="8" max="8" width="24.28515625" bestFit="1" customWidth="1"/>
    <col min="9" max="9" width="16.140625" bestFit="1" customWidth="1"/>
    <col min="10" max="10" width="36.5703125" bestFit="1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2" t="str">
        <f>VLOOKUP(Product_master!B1,Product_master!B$1:D$6,1,FALSE)</f>
        <v>Product Name</v>
      </c>
      <c r="H1" s="22" t="str">
        <f>VLOOKUP(Product_master!D1,Product_master!D$1:D$6,1,FALSE)</f>
        <v>Price per Unit</v>
      </c>
      <c r="I1" s="21" t="s">
        <v>6</v>
      </c>
      <c r="J1" s="10"/>
    </row>
    <row r="2" spans="1:11">
      <c r="A2" s="4" t="s">
        <v>7</v>
      </c>
      <c r="B2" s="5" t="s">
        <v>8</v>
      </c>
      <c r="C2" s="14" t="s">
        <v>9</v>
      </c>
      <c r="D2" s="5" t="s">
        <v>10</v>
      </c>
      <c r="E2" s="5">
        <v>15</v>
      </c>
      <c r="F2" s="6">
        <v>45000</v>
      </c>
      <c r="G2" t="str">
        <f>VLOOKUP(Product_master!B2,Product_master!B$1:D$6,1,FALSE)</f>
        <v>Laptop</v>
      </c>
      <c r="H2">
        <f>VLOOKUP(Product_master!D2,Product_master!D$1:D$6,1,FALSE)</f>
        <v>3000</v>
      </c>
      <c r="I2">
        <f>H2*E2</f>
        <v>45000</v>
      </c>
      <c r="J2" s="10"/>
      <c r="K2" s="10"/>
    </row>
    <row r="3" spans="1:11">
      <c r="A3" s="4" t="s">
        <v>11</v>
      </c>
      <c r="B3" s="5" t="s">
        <v>12</v>
      </c>
      <c r="C3" s="15" t="s">
        <v>13</v>
      </c>
      <c r="D3" s="5" t="s">
        <v>14</v>
      </c>
      <c r="E3" s="5">
        <v>20</v>
      </c>
      <c r="F3" s="6">
        <v>60000</v>
      </c>
      <c r="G3" t="str">
        <f>VLOOKUP(Product_master!B3,Product_master!B$1:D$6,1,FALSE)</f>
        <v>Smartphone</v>
      </c>
      <c r="H3">
        <f>VLOOKUP(Product_master!D3,Product_master!D$1:D$6,1,FALSE)</f>
        <v>3000</v>
      </c>
      <c r="I3">
        <f>H3*E3</f>
        <v>60000</v>
      </c>
      <c r="J3" s="10"/>
    </row>
    <row r="4" spans="1:11">
      <c r="A4" s="4" t="s">
        <v>15</v>
      </c>
      <c r="B4" s="5" t="s">
        <v>16</v>
      </c>
      <c r="C4" s="15" t="s">
        <v>17</v>
      </c>
      <c r="D4" s="5" t="s">
        <v>18</v>
      </c>
      <c r="E4" s="5">
        <v>10</v>
      </c>
      <c r="F4" s="6">
        <v>35000</v>
      </c>
      <c r="G4" t="str">
        <f>VLOOKUP(Product_master!B4,Product_master!B$1:D$6,1,FALSE)</f>
        <v>Headphones</v>
      </c>
      <c r="H4">
        <f>VLOOKUP(Product_master!D4,Product_master!D$1:D$6,1,FALSE)</f>
        <v>3500</v>
      </c>
      <c r="I4">
        <f>H4*E4</f>
        <v>35000</v>
      </c>
      <c r="J4" s="10"/>
    </row>
    <row r="5" spans="1:11">
      <c r="A5" s="4" t="s">
        <v>19</v>
      </c>
      <c r="B5" s="5" t="s">
        <v>20</v>
      </c>
      <c r="C5" s="15" t="s">
        <v>21</v>
      </c>
      <c r="D5" s="5" t="s">
        <v>22</v>
      </c>
      <c r="E5" s="5">
        <v>25</v>
      </c>
      <c r="F5" s="6">
        <v>125000</v>
      </c>
      <c r="G5" t="str">
        <f>VLOOKUP(Product_master!B5,Product_master!B$1:D$6,1,FALSE)</f>
        <v>Printer</v>
      </c>
      <c r="H5">
        <f>VLOOKUP(Product_master!D5,Product_master!D$1:D$6,1,FALSE)</f>
        <v>5000</v>
      </c>
      <c r="I5">
        <f>H5*E5</f>
        <v>125000</v>
      </c>
      <c r="J5" s="10"/>
    </row>
    <row r="6" spans="1:11">
      <c r="A6" s="4" t="s">
        <v>23</v>
      </c>
      <c r="B6" s="5" t="s">
        <v>24</v>
      </c>
      <c r="C6" s="15" t="s">
        <v>9</v>
      </c>
      <c r="D6" s="5" t="s">
        <v>25</v>
      </c>
      <c r="E6" s="5">
        <v>12</v>
      </c>
      <c r="F6" s="6">
        <v>48000</v>
      </c>
      <c r="G6" t="str">
        <f>VLOOKUP(Product_master!B6,Product_master!B$1:D$6,1,FALSE)</f>
        <v>Monitor</v>
      </c>
      <c r="H6">
        <f>VLOOKUP(Product_master!D6,Product_master!D$1:D$6,1,FALSE)</f>
        <v>4000</v>
      </c>
      <c r="I6">
        <f>H6*E6</f>
        <v>48000</v>
      </c>
      <c r="J6" s="10"/>
    </row>
    <row r="7" spans="1:11">
      <c r="A7" s="4" t="s">
        <v>26</v>
      </c>
      <c r="B7" s="5" t="s">
        <v>27</v>
      </c>
      <c r="C7" s="15" t="s">
        <v>17</v>
      </c>
      <c r="D7" s="5" t="s">
        <v>14</v>
      </c>
      <c r="E7" s="5">
        <v>18</v>
      </c>
      <c r="F7" s="6">
        <v>54000</v>
      </c>
      <c r="G7" s="5" t="s">
        <v>28</v>
      </c>
      <c r="H7" s="6">
        <v>3000</v>
      </c>
      <c r="I7">
        <f t="shared" ref="I7:I11" si="0">H7*E7</f>
        <v>54000</v>
      </c>
      <c r="J7" s="10"/>
    </row>
    <row r="8" spans="1:11">
      <c r="A8" s="4" t="s">
        <v>29</v>
      </c>
      <c r="B8" s="5" t="s">
        <v>30</v>
      </c>
      <c r="C8" s="15" t="s">
        <v>13</v>
      </c>
      <c r="D8" s="5" t="s">
        <v>18</v>
      </c>
      <c r="E8" s="5">
        <v>22</v>
      </c>
      <c r="F8" s="6">
        <v>77000</v>
      </c>
      <c r="G8" s="5" t="s">
        <v>31</v>
      </c>
      <c r="H8" s="6">
        <v>3500</v>
      </c>
      <c r="I8">
        <f t="shared" si="0"/>
        <v>77000</v>
      </c>
      <c r="J8" s="10"/>
    </row>
    <row r="9" spans="1:11">
      <c r="A9" s="4" t="s">
        <v>32</v>
      </c>
      <c r="B9" s="5" t="s">
        <v>33</v>
      </c>
      <c r="C9" s="15" t="s">
        <v>21</v>
      </c>
      <c r="D9" s="5" t="s">
        <v>10</v>
      </c>
      <c r="E9" s="5">
        <v>30</v>
      </c>
      <c r="F9" s="6">
        <v>90000</v>
      </c>
      <c r="G9" s="5" t="s">
        <v>34</v>
      </c>
      <c r="H9" s="6">
        <v>3000</v>
      </c>
      <c r="I9">
        <f t="shared" si="0"/>
        <v>90000</v>
      </c>
      <c r="J9" s="10"/>
    </row>
    <row r="10" spans="1:11">
      <c r="A10" s="4" t="s">
        <v>35</v>
      </c>
      <c r="B10" s="5" t="s">
        <v>36</v>
      </c>
      <c r="C10" s="15" t="s">
        <v>9</v>
      </c>
      <c r="D10" s="5" t="s">
        <v>22</v>
      </c>
      <c r="E10" s="5">
        <v>14</v>
      </c>
      <c r="F10" s="6">
        <v>70000</v>
      </c>
      <c r="G10" s="5" t="s">
        <v>37</v>
      </c>
      <c r="H10" s="6">
        <v>5000</v>
      </c>
      <c r="I10">
        <f t="shared" si="0"/>
        <v>70000</v>
      </c>
      <c r="J10" s="10"/>
    </row>
    <row r="11" spans="1:11">
      <c r="A11" s="7" t="s">
        <v>38</v>
      </c>
      <c r="B11" s="8" t="s">
        <v>39</v>
      </c>
      <c r="C11" s="16" t="s">
        <v>17</v>
      </c>
      <c r="D11" s="8" t="s">
        <v>25</v>
      </c>
      <c r="E11" s="8">
        <v>8</v>
      </c>
      <c r="F11" s="9">
        <v>32000</v>
      </c>
      <c r="G11" s="8" t="s">
        <v>40</v>
      </c>
      <c r="H11" s="9">
        <v>4000</v>
      </c>
      <c r="I11">
        <f t="shared" si="0"/>
        <v>32000</v>
      </c>
      <c r="J11" s="10"/>
    </row>
    <row r="12" spans="1:11">
      <c r="H12" s="20" t="s">
        <v>41</v>
      </c>
      <c r="I12">
        <f>SUM(I2:I11)</f>
        <v>636000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03BC-F379-4BC9-9072-35FC2D9726CE}">
  <dimension ref="A1:D6"/>
  <sheetViews>
    <sheetView workbookViewId="0">
      <selection activeCell="C5" sqref="C5"/>
    </sheetView>
  </sheetViews>
  <sheetFormatPr defaultRowHeight="15"/>
  <cols>
    <col min="1" max="1" width="10.28515625" bestFit="1" customWidth="1"/>
    <col min="2" max="2" width="13.42578125" bestFit="1" customWidth="1"/>
    <col min="3" max="3" width="13.28515625" bestFit="1" customWidth="1"/>
    <col min="4" max="4" width="13" bestFit="1" customWidth="1"/>
    <col min="8" max="8" width="13.85546875" bestFit="1" customWidth="1"/>
    <col min="9" max="9" width="12.28515625" bestFit="1" customWidth="1"/>
  </cols>
  <sheetData>
    <row r="1" spans="1:4">
      <c r="A1" s="1" t="s">
        <v>3</v>
      </c>
      <c r="B1" s="2" t="s">
        <v>42</v>
      </c>
      <c r="C1" s="2" t="s">
        <v>43</v>
      </c>
      <c r="D1" s="3" t="s">
        <v>44</v>
      </c>
    </row>
    <row r="2" spans="1:4">
      <c r="A2" s="4" t="s">
        <v>10</v>
      </c>
      <c r="B2" s="5" t="s">
        <v>34</v>
      </c>
      <c r="C2" s="5" t="s">
        <v>45</v>
      </c>
      <c r="D2" s="6">
        <v>3000</v>
      </c>
    </row>
    <row r="3" spans="1:4">
      <c r="A3" s="4" t="s">
        <v>14</v>
      </c>
      <c r="B3" s="5" t="s">
        <v>28</v>
      </c>
      <c r="C3" s="5" t="s">
        <v>45</v>
      </c>
      <c r="D3" s="6">
        <v>3000</v>
      </c>
    </row>
    <row r="4" spans="1:4">
      <c r="A4" s="4" t="s">
        <v>18</v>
      </c>
      <c r="B4" s="5" t="s">
        <v>31</v>
      </c>
      <c r="C4" s="5" t="s">
        <v>46</v>
      </c>
      <c r="D4" s="6">
        <v>3500</v>
      </c>
    </row>
    <row r="5" spans="1:4">
      <c r="A5" s="4" t="s">
        <v>22</v>
      </c>
      <c r="B5" s="5" t="s">
        <v>37</v>
      </c>
      <c r="C5" s="5" t="s">
        <v>47</v>
      </c>
      <c r="D5" s="6">
        <v>5000</v>
      </c>
    </row>
    <row r="6" spans="1:4">
      <c r="A6" s="7" t="s">
        <v>25</v>
      </c>
      <c r="B6" s="8" t="s">
        <v>40</v>
      </c>
      <c r="C6" s="8" t="s">
        <v>45</v>
      </c>
      <c r="D6" s="9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6DC4-B7B8-407B-A184-3E7F90921676}">
  <dimension ref="A1:F5"/>
  <sheetViews>
    <sheetView tabSelected="1" workbookViewId="0">
      <selection activeCell="F4" sqref="F4"/>
    </sheetView>
  </sheetViews>
  <sheetFormatPr defaultRowHeight="15"/>
  <cols>
    <col min="1" max="1" width="11.42578125" bestFit="1" customWidth="1"/>
    <col min="2" max="2" width="8.140625" bestFit="1" customWidth="1"/>
    <col min="3" max="3" width="8.42578125" bestFit="1" customWidth="1"/>
    <col min="4" max="4" width="7.42578125" bestFit="1" customWidth="1"/>
    <col min="5" max="5" width="7.5703125" bestFit="1" customWidth="1"/>
  </cols>
  <sheetData>
    <row r="1" spans="1:6">
      <c r="A1" s="1"/>
      <c r="B1" s="2"/>
      <c r="C1" s="2"/>
      <c r="D1" s="2"/>
      <c r="E1" s="26"/>
      <c r="F1" s="23"/>
    </row>
    <row r="2" spans="1:6">
      <c r="A2" s="7"/>
      <c r="B2" s="8"/>
      <c r="C2" s="8"/>
      <c r="D2" s="25"/>
      <c r="E2" s="24"/>
    </row>
    <row r="3" spans="1:6">
      <c r="A3" s="17" t="s">
        <v>2</v>
      </c>
      <c r="B3" s="18" t="s">
        <v>9</v>
      </c>
      <c r="C3" s="18" t="s">
        <v>13</v>
      </c>
      <c r="D3" s="18" t="s">
        <v>17</v>
      </c>
      <c r="E3" s="19" t="s">
        <v>21</v>
      </c>
    </row>
    <row r="4" spans="1:6">
      <c r="A4" s="11" t="s">
        <v>48</v>
      </c>
      <c r="B4" s="12">
        <v>150000</v>
      </c>
      <c r="C4" s="12">
        <v>140000</v>
      </c>
      <c r="D4" s="12">
        <v>120000</v>
      </c>
      <c r="E4" s="13">
        <v>160000</v>
      </c>
    </row>
    <row r="5" spans="1:6">
      <c r="A5" t="s">
        <v>49</v>
      </c>
      <c r="B5">
        <f>SUMIF(sales_data!C:C, "North", sales_data!I:I)</f>
        <v>163000</v>
      </c>
      <c r="C5">
        <f>SUMIF(sales_data!C2:C11,"South",sales_data!I2:I11)</f>
        <v>137000</v>
      </c>
      <c r="D5">
        <f>SUMIF(sales_data!C2:C11,"East",sales_data!I2:I11)</f>
        <v>121000</v>
      </c>
      <c r="E5">
        <f>SUMIF(sales_data!C2:C11,"West",sales_data!I2:I11)</f>
        <v>215000</v>
      </c>
    </row>
  </sheetData>
  <conditionalFormatting sqref="B5">
    <cfRule type="cellIs" dxfId="10" priority="8" operator="lessThan">
      <formula>$B$4</formula>
    </cfRule>
  </conditionalFormatting>
  <conditionalFormatting sqref="C5">
    <cfRule type="cellIs" dxfId="9" priority="7" operator="lessThan">
      <formula>$C$4</formula>
    </cfRule>
  </conditionalFormatting>
  <conditionalFormatting sqref="D5">
    <cfRule type="cellIs" dxfId="8" priority="6" operator="lessThan">
      <formula>$D$4</formula>
    </cfRule>
  </conditionalFormatting>
  <conditionalFormatting sqref="E5">
    <cfRule type="cellIs" dxfId="7" priority="5" operator="lessThan">
      <formula>$E$4</formula>
    </cfRule>
  </conditionalFormatting>
  <conditionalFormatting sqref="B5">
    <cfRule type="cellIs" dxfId="6" priority="4" operator="greaterThan">
      <formula>$B$4</formula>
    </cfRule>
  </conditionalFormatting>
  <conditionalFormatting sqref="D5">
    <cfRule type="cellIs" dxfId="5" priority="3" operator="greaterThan">
      <formula>$D$4</formula>
    </cfRule>
  </conditionalFormatting>
  <conditionalFormatting sqref="E5">
    <cfRule type="cellIs" dxfId="4" priority="2" operator="greaterThan">
      <formula>$E$4</formula>
    </cfRule>
  </conditionalFormatting>
  <conditionalFormatting sqref="C5">
    <cfRule type="cellIs" dxfId="3" priority="1" operator="greaterThan">
      <formula>$C$4</formula>
    </cfRule>
  </conditionalFormatting>
  <dataValidations count="1">
    <dataValidation type="list" allowBlank="1" showInputMessage="1" showErrorMessage="1" sqref="A1" xr:uid="{D45F9B8D-A626-4F50-8197-99A759FEB6A1}">
      <formula1>$A$1:$E$1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2025-08-11T16:12:22Z</dcterms:created>
  <dcterms:modified xsi:type="dcterms:W3CDTF">2025-11-03T10:05:45Z</dcterms:modified>
  <cp:category/>
  <cp:contentStatus/>
</cp:coreProperties>
</file>